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ownloads\"/>
    </mc:Choice>
  </mc:AlternateContent>
  <xr:revisionPtr revIDLastSave="0" documentId="13_ncr:1_{20203666-F6D6-471E-A33A-E86D4405B9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7" sheetId="8" r:id="rId2"/>
    <sheet name="Sheet5" sheetId="6" r:id="rId3"/>
    <sheet name="Sheet4" sheetId="5" r:id="rId4"/>
    <sheet name="Sheet3" sheetId="4" r:id="rId5"/>
    <sheet name="screentime" sheetId="1" r:id="rId6"/>
  </sheets>
  <definedNames>
    <definedName name="_xlnm._FilterDatabase" localSheetId="5" hidden="1">screentime!$A$3:$E$41</definedName>
    <definedName name="_xlcn.WorksheetConnection_screentimeA3F411" hidden="1">screentime!$A$3:$E$41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creentime!$A$3:$F$4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6" i="1"/>
  <c r="I4" i="1"/>
  <c r="B4" i="1"/>
  <c r="B6" i="1"/>
  <c r="B7" i="1"/>
  <c r="B8" i="1"/>
  <c r="B9" i="1"/>
  <c r="B10" i="1"/>
  <c r="B11" i="1"/>
  <c r="B12" i="1"/>
  <c r="B13" i="1"/>
  <c r="B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screentime!$A$3:$F$4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creentimeA3F411"/>
        </x15:connection>
      </ext>
    </extLst>
  </connection>
</connections>
</file>

<file path=xl/sharedStrings.xml><?xml version="1.0" encoding="utf-8"?>
<sst xmlns="http://schemas.openxmlformats.org/spreadsheetml/2006/main" count="266" uniqueCount="60">
  <si>
    <t>Date</t>
  </si>
  <si>
    <t>App_Name</t>
  </si>
  <si>
    <t>Usage_Time</t>
  </si>
  <si>
    <t xml:space="preserve">         Minutes</t>
  </si>
  <si>
    <t>Percentage_of_Day</t>
  </si>
  <si>
    <t>Instagram</t>
  </si>
  <si>
    <t>1h 3m</t>
  </si>
  <si>
    <t>YouTube</t>
  </si>
  <si>
    <t>48m</t>
  </si>
  <si>
    <t>WhatsApp</t>
  </si>
  <si>
    <t>38m</t>
  </si>
  <si>
    <t>Google</t>
  </si>
  <si>
    <t>37m</t>
  </si>
  <si>
    <t>Snapchat</t>
  </si>
  <si>
    <t>7m</t>
  </si>
  <si>
    <t>LinkedIn</t>
  </si>
  <si>
    <t>4m</t>
  </si>
  <si>
    <t>2h 19m</t>
  </si>
  <si>
    <t>1h 49m</t>
  </si>
  <si>
    <t>Camera</t>
  </si>
  <si>
    <t>16m</t>
  </si>
  <si>
    <t>PhonePe</t>
  </si>
  <si>
    <t>15m</t>
  </si>
  <si>
    <t>Uber</t>
  </si>
  <si>
    <t>14m</t>
  </si>
  <si>
    <t>2h 15m</t>
  </si>
  <si>
    <t>2h 9m</t>
  </si>
  <si>
    <t>27m</t>
  </si>
  <si>
    <t>23m</t>
  </si>
  <si>
    <t>InShorts</t>
  </si>
  <si>
    <t>1h 20m</t>
  </si>
  <si>
    <t>1h 5m</t>
  </si>
  <si>
    <t>49m</t>
  </si>
  <si>
    <t>43m</t>
  </si>
  <si>
    <t>Gmail</t>
  </si>
  <si>
    <t>1h 21m</t>
  </si>
  <si>
    <t>52m</t>
  </si>
  <si>
    <t>21m</t>
  </si>
  <si>
    <t>10m</t>
  </si>
  <si>
    <t>2h 17m</t>
  </si>
  <si>
    <t>59m</t>
  </si>
  <si>
    <t>33m</t>
  </si>
  <si>
    <t>28m</t>
  </si>
  <si>
    <t>11m</t>
  </si>
  <si>
    <t>2h 43m</t>
  </si>
  <si>
    <t>2h 32m</t>
  </si>
  <si>
    <t>Zen Word</t>
  </si>
  <si>
    <t>29m</t>
  </si>
  <si>
    <t>18m</t>
  </si>
  <si>
    <t>Grand Total</t>
  </si>
  <si>
    <t>Sum of          Minutes</t>
  </si>
  <si>
    <t>Sum of  Minutes</t>
  </si>
  <si>
    <t>Average of  Minutes</t>
  </si>
  <si>
    <t>Day_Type</t>
  </si>
  <si>
    <t>Weekday</t>
  </si>
  <si>
    <t>Weekend</t>
  </si>
  <si>
    <t>Sum of Minutes</t>
  </si>
  <si>
    <t>Sum of Percentage_of_Day</t>
  </si>
  <si>
    <t>Sum of Percentage</t>
  </si>
  <si>
    <t xml:space="preserve">    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</si>
</sst>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left"/>
    </xf>
    <xf numFmtId="49" fontId="0" fillId="0" borderId="0" xfId="0" applyNumberFormat="1"/>
    <xf numFmtId="1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Sheet1!$M$8:$M$14</c:f>
              <c:strCache>
                <c:ptCount val="7"/>
                <c:pt idx="0">
                  <c:v>07-06-2025</c:v>
                </c:pt>
                <c:pt idx="1">
                  <c:v>08-06-2025</c:v>
                </c:pt>
                <c:pt idx="2">
                  <c:v>09-06-2025</c:v>
                </c:pt>
                <c:pt idx="3">
                  <c:v>10-06-2025</c:v>
                </c:pt>
                <c:pt idx="4">
                  <c:v>11-06-2025</c:v>
                </c:pt>
                <c:pt idx="5">
                  <c:v>12-06-2025</c:v>
                </c:pt>
                <c:pt idx="6">
                  <c:v>14-06-2025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C3-4CD1-88D2-8FDA417893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C3-4CD1-88D2-8FDA417893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C3-4CD1-88D2-8FDA417893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C3-4CD1-88D2-8FDA417893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C3-4CD1-88D2-8FDA417893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2C3-4CD1-88D2-8FDA417893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2C3-4CD1-88D2-8FDA41789352}"/>
              </c:ext>
            </c:extLst>
          </c:dPt>
          <c:cat>
            <c:numRef>
              <c:f>Sheet1!$M$8:$M$14</c:f>
              <c:numCache>
                <c:formatCode>m/d/yyyy</c:formatCode>
                <c:ptCount val="7"/>
                <c:pt idx="0">
                  <c:v>45815</c:v>
                </c:pt>
                <c:pt idx="1">
                  <c:v>45816</c:v>
                </c:pt>
                <c:pt idx="2">
                  <c:v>45817</c:v>
                </c:pt>
                <c:pt idx="3">
                  <c:v>45818</c:v>
                </c:pt>
                <c:pt idx="4">
                  <c:v>45819</c:v>
                </c:pt>
                <c:pt idx="5">
                  <c:v>45820</c:v>
                </c:pt>
                <c:pt idx="6">
                  <c:v>45822</c:v>
                </c:pt>
              </c:numCache>
            </c:numRef>
          </c:cat>
          <c:val>
            <c:numRef>
              <c:f>Sheet1!$N$8:$N$14</c:f>
              <c:numCache>
                <c:formatCode>General</c:formatCode>
                <c:ptCount val="7"/>
                <c:pt idx="0">
                  <c:v>32.833333333333336</c:v>
                </c:pt>
                <c:pt idx="1">
                  <c:v>58.6</c:v>
                </c:pt>
                <c:pt idx="2">
                  <c:v>65.599999999999994</c:v>
                </c:pt>
                <c:pt idx="3">
                  <c:v>50.4</c:v>
                </c:pt>
                <c:pt idx="4">
                  <c:v>42.4</c:v>
                </c:pt>
                <c:pt idx="5">
                  <c:v>52.833333333333336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D1-4C63-900F-5E2135745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Used Apps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App_Name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Sheet1!$A$4:$A$15</c:f>
              <c:strCache>
                <c:ptCount val="12"/>
                <c:pt idx="0">
                  <c:v>WhatsApp</c:v>
                </c:pt>
                <c:pt idx="1">
                  <c:v>Instagram</c:v>
                </c:pt>
                <c:pt idx="2">
                  <c:v>YouTube</c:v>
                </c:pt>
                <c:pt idx="3">
                  <c:v>Google</c:v>
                </c:pt>
                <c:pt idx="4">
                  <c:v>Snapchat</c:v>
                </c:pt>
                <c:pt idx="5">
                  <c:v>LinkedIn</c:v>
                </c:pt>
                <c:pt idx="6">
                  <c:v>Zen Word</c:v>
                </c:pt>
                <c:pt idx="7">
                  <c:v>Camera</c:v>
                </c:pt>
                <c:pt idx="8">
                  <c:v>Gmail</c:v>
                </c:pt>
                <c:pt idx="9">
                  <c:v>PhonePe</c:v>
                </c:pt>
                <c:pt idx="10">
                  <c:v>Uber</c:v>
                </c:pt>
                <c:pt idx="11">
                  <c:v>InShorts</c:v>
                </c:pt>
              </c:strCache>
            </c:strRef>
          </c:cat>
          <c:val>
            <c:numRef>
              <c:f>Sheet1!$B$4:$B$15</c:f>
              <c:numCache>
                <c:formatCode>0.00</c:formatCode>
                <c:ptCount val="12"/>
                <c:pt idx="0">
                  <c:v>682</c:v>
                </c:pt>
                <c:pt idx="1">
                  <c:v>602</c:v>
                </c:pt>
                <c:pt idx="2">
                  <c:v>357</c:v>
                </c:pt>
                <c:pt idx="3">
                  <c:v>134</c:v>
                </c:pt>
                <c:pt idx="4">
                  <c:v>79</c:v>
                </c:pt>
                <c:pt idx="5">
                  <c:v>38</c:v>
                </c:pt>
                <c:pt idx="6">
                  <c:v>29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CA-4C43-AE0D-B05E5DC88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421247"/>
        <c:axId val="572422111"/>
      </c:barChart>
      <c:catAx>
        <c:axId val="57242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22111"/>
        <c:crosses val="autoZero"/>
        <c:auto val="1"/>
        <c:lblAlgn val="ctr"/>
        <c:lblOffset val="100"/>
        <c:noMultiLvlLbl val="0"/>
      </c:catAx>
      <c:valAx>
        <c:axId val="57242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2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[screentime1.xlsx]Sheet7!PivotTable13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Used Apps On Weekdays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82-4FA8-8D12-CEBFCA26CB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82-4FA8-8D12-CEBFCA26CB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82-4FA8-8D12-CEBFCA26CB63}"/>
              </c:ext>
            </c:extLst>
          </c:dPt>
          <c:cat>
            <c:strRef>
              <c:f>Sheet7!$A$4:$A$7</c:f>
              <c:strCache>
                <c:ptCount val="3"/>
                <c:pt idx="0">
                  <c:v>Google</c:v>
                </c:pt>
                <c:pt idx="1">
                  <c:v>Instagram</c:v>
                </c:pt>
                <c:pt idx="2">
                  <c:v>WhatsApp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31.9</c:v>
                </c:pt>
                <c:pt idx="1">
                  <c:v>81</c:v>
                </c:pt>
                <c:pt idx="2">
                  <c:v>117.7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F-4551-BD5B-161CFD76F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[screentime1.xlsx]Sheet5!PivotTable9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613554445098726"/>
          <c:y val="0.19190200760833354"/>
          <c:w val="0.63747013225694316"/>
          <c:h val="0.52474079805580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Sheet5!$A$4:$A$13</c:f>
              <c:strCache>
                <c:ptCount val="9"/>
                <c:pt idx="0">
                  <c:v>Camera</c:v>
                </c:pt>
                <c:pt idx="1">
                  <c:v>Google</c:v>
                </c:pt>
                <c:pt idx="2">
                  <c:v>Instagram</c:v>
                </c:pt>
                <c:pt idx="3">
                  <c:v>LinkedIn</c:v>
                </c:pt>
                <c:pt idx="4">
                  <c:v>PhonePe</c:v>
                </c:pt>
                <c:pt idx="5">
                  <c:v>Snapchat</c:v>
                </c:pt>
                <c:pt idx="6">
                  <c:v>Uber</c:v>
                </c:pt>
                <c:pt idx="7">
                  <c:v>WhatsApp</c:v>
                </c:pt>
                <c:pt idx="8">
                  <c:v>YouTube</c:v>
                </c:pt>
              </c:strCache>
            </c:strRef>
          </c:cat>
          <c:val>
            <c:numRef>
              <c:f>Sheet5!$B$4:$B$13</c:f>
              <c:numCache>
                <c:formatCode>General</c:formatCode>
                <c:ptCount val="9"/>
                <c:pt idx="0">
                  <c:v>4.9000000000000004</c:v>
                </c:pt>
                <c:pt idx="1">
                  <c:v>17.399999999999999</c:v>
                </c:pt>
                <c:pt idx="2">
                  <c:v>72.5</c:v>
                </c:pt>
                <c:pt idx="3">
                  <c:v>1.9</c:v>
                </c:pt>
                <c:pt idx="4">
                  <c:v>4.5999999999999996</c:v>
                </c:pt>
                <c:pt idx="5">
                  <c:v>3.3</c:v>
                </c:pt>
                <c:pt idx="6">
                  <c:v>4.3</c:v>
                </c:pt>
                <c:pt idx="7">
                  <c:v>51.400000000000006</c:v>
                </c:pt>
                <c:pt idx="8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25-42B9-B892-D886D2DC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370895"/>
        <c:axId val="242368735"/>
      </c:barChart>
      <c:valAx>
        <c:axId val="24236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70895"/>
        <c:crosses val="autoZero"/>
        <c:crossBetween val="between"/>
      </c:valAx>
      <c:catAx>
        <c:axId val="242370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68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088337242594607"/>
          <c:y val="0.89272870382968184"/>
          <c:w val="9.4944716575816088E-2"/>
          <c:h val="8.0781793988904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[screentime1.xlsx]Sheet4!PivotTable5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Weekday</a:t>
            </a:r>
            <a:r>
              <a:rPr lang="en-IN" baseline="0"/>
              <a:t> Vs Weekend Usage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790192149806238"/>
          <c:y val="0.16564596092155148"/>
          <c:w val="0.69343789481744278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1109</c:v>
                </c:pt>
                <c:pt idx="1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2-41FA-BAFA-C681496C2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6552559"/>
        <c:axId val="575539407"/>
      </c:barChart>
      <c:catAx>
        <c:axId val="616552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39407"/>
        <c:crosses val="autoZero"/>
        <c:auto val="1"/>
        <c:lblAlgn val="ctr"/>
        <c:lblOffset val="100"/>
        <c:noMultiLvlLbl val="0"/>
      </c:catAx>
      <c:valAx>
        <c:axId val="57553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5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Apps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15319444444444447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Sheet3!$A$2:$A$4</c:f>
              <c:strCache>
                <c:ptCount val="3"/>
                <c:pt idx="0">
                  <c:v>Instagram</c:v>
                </c:pt>
                <c:pt idx="1">
                  <c:v>WhatsApp</c:v>
                </c:pt>
                <c:pt idx="2">
                  <c:v>YouTube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Sheet3!$A$2:$A$4</c:f>
              <c:strCache>
                <c:ptCount val="3"/>
                <c:pt idx="0">
                  <c:v>Instagram</c:v>
                </c:pt>
                <c:pt idx="1">
                  <c:v>WhatsApp</c:v>
                </c:pt>
                <c:pt idx="2">
                  <c:v>YouTube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3"/>
                <c:pt idx="0">
                  <c:v>602</c:v>
                </c:pt>
                <c:pt idx="1">
                  <c:v>682</c:v>
                </c:pt>
                <c:pt idx="2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2-48D7-B69A-D822CA99A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19695"/>
        <c:axId val="54817535"/>
      </c:barChart>
      <c:catAx>
        <c:axId val="5481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17535"/>
        <c:crosses val="autoZero"/>
        <c:auto val="1"/>
        <c:lblAlgn val="ctr"/>
        <c:lblOffset val="100"/>
        <c:noMultiLvlLbl val="0"/>
      </c:catAx>
      <c:valAx>
        <c:axId val="5481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1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335280</xdr:colOff>
      <xdr:row>5</xdr:row>
      <xdr:rowOff>144780</xdr:rowOff>
    </xdr:from>
    <xdr:to>
      <xdr:col>19</xdr:col>
      <xdr:colOff>281940</xdr:colOff>
      <xdr:row>19</xdr:row>
      <xdr:rowOff>38828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80B4FD-F099-44E9-BE58-4752BADD9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33291</xdr:colOff>
      <xdr:row>1</xdr:row>
      <xdr:rowOff>181992</xdr:rowOff>
    </xdr:from>
    <xdr:to>
      <xdr:col>10</xdr:col>
      <xdr:colOff>358806</xdr:colOff>
      <xdr:row>16</xdr:row>
      <xdr:rowOff>150920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61A588-B1D7-4522-BC01-BB2A4CB83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269875</xdr:colOff>
      <xdr:row>5</xdr:row>
      <xdr:rowOff>69055</xdr:rowOff>
    </xdr:from>
    <xdr:to>
      <xdr:col>10</xdr:col>
      <xdr:colOff>301625</xdr:colOff>
      <xdr:row>20</xdr:row>
      <xdr:rowOff>73818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E428FB-AEF8-4864-ABC5-432FFCA65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349520</xdr:colOff>
      <xdr:row>5</xdr:row>
      <xdr:rowOff>164062</xdr:rowOff>
    </xdr:from>
    <xdr:to>
      <xdr:col>10</xdr:col>
      <xdr:colOff>44720</xdr:colOff>
      <xdr:row>20</xdr:row>
      <xdr:rowOff>164062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08F27-B14A-4AE5-AD13-312F9B046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7</xdr:row>
      <xdr:rowOff>102870</xdr:rowOff>
    </xdr:from>
    <xdr:to>
      <xdr:col>8</xdr:col>
      <xdr:colOff>106680</xdr:colOff>
      <xdr:row>22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A6D56-940C-45DD-8F65-C12822089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853440</xdr:colOff>
      <xdr:row>6</xdr:row>
      <xdr:rowOff>171450</xdr:rowOff>
    </xdr:from>
    <xdr:to>
      <xdr:col>8</xdr:col>
      <xdr:colOff>495300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09176-429C-4A96-B2DC-1316CC5FD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5830.508146875" missingItemsLimit="1048576" createdVersion="7" refreshedVersion="7" minRefreshableVersion="3" recordCount="38" xr:uid="{00000000-000A-0000-FFFF-FFFF08000000}">
  <cacheSource type="worksheet">
    <worksheetSource ref="A3:E41" sheet="screentime"/>
  </cacheSource>
  <cacheFields count="5">
    <cacheField name="Date" numFmtId="14">
      <sharedItems containsSemiMixedTypes="0" containsNonDate="0" containsDate="1" containsString="0" minDate="2025-06-07T00:00:00" maxDate="2025-06-15T00:00:00" count="7">
        <d v="2025-06-07T00:00:00"/>
        <d v="2025-06-08T00:00:00"/>
        <d v="2025-06-09T00:00:00"/>
        <d v="2025-06-10T00:00:00"/>
        <d v="2025-06-11T00:00:00"/>
        <d v="2025-06-12T00:00:00"/>
        <d v="2025-06-14T00:00:00"/>
      </sharedItems>
    </cacheField>
    <cacheField name="App_Name" numFmtId="0">
      <sharedItems count="12">
        <s v="Instagram"/>
        <s v="YouTube"/>
        <s v="WhatsApp"/>
        <s v="Google"/>
        <s v="Snapchat"/>
        <s v="LinkedIn"/>
        <s v="Camera"/>
        <s v="PhonePe"/>
        <s v="Uber"/>
        <s v="InShorts"/>
        <s v="Gmail"/>
        <s v="Zen Word"/>
      </sharedItems>
    </cacheField>
    <cacheField name="Usage_Time" numFmtId="0">
      <sharedItems/>
    </cacheField>
    <cacheField name="         Minutes" numFmtId="0">
      <sharedItems containsSemiMixedTypes="0" containsString="0" containsNumber="1" containsInteger="1" minValue="4" maxValue="163" count="32">
        <n v="63"/>
        <n v="48"/>
        <n v="38"/>
        <n v="37"/>
        <n v="7"/>
        <n v="4"/>
        <n v="139"/>
        <n v="109"/>
        <n v="16"/>
        <n v="15"/>
        <n v="14"/>
        <n v="135"/>
        <n v="129"/>
        <n v="27"/>
        <n v="23"/>
        <n v="80"/>
        <n v="65"/>
        <n v="49"/>
        <n v="43"/>
        <n v="81"/>
        <n v="52"/>
        <n v="21"/>
        <n v="10"/>
        <n v="137"/>
        <n v="59"/>
        <n v="33"/>
        <n v="28"/>
        <n v="11"/>
        <n v="163"/>
        <n v="152"/>
        <n v="29"/>
        <n v="18"/>
      </sharedItems>
    </cacheField>
    <cacheField name="Percentage_of_Day" numFmtId="0">
      <sharedItems containsSemiMixedTypes="0" containsString="0" containsNumber="1" minValue="1.9" maxValue="42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5830.607476041667" createdVersion="7" refreshedVersion="7" minRefreshableVersion="3" recordCount="11" xr:uid="{00000000-000A-0000-FFFF-FFFF24000000}">
  <cacheSource type="worksheet">
    <worksheetSource ref="A3:E14" sheet="screentime"/>
  </cacheSource>
  <cacheFields count="6">
    <cacheField name="Date" numFmtId="14">
      <sharedItems containsSemiMixedTypes="0" containsNonDate="0" containsDate="1" containsString="0" minDate="2025-06-07T00:00:00" maxDate="2025-06-09T00:00:00"/>
    </cacheField>
    <cacheField name="Day_Type" numFmtId="14">
      <sharedItems/>
    </cacheField>
    <cacheField name="App_Name" numFmtId="49">
      <sharedItems count="9">
        <s v="Instagram"/>
        <s v="YouTube"/>
        <s v="WhatsApp"/>
        <s v="Google"/>
        <s v="Snapchat"/>
        <s v="LinkedIn"/>
        <s v="Camera"/>
        <s v="PhonePe"/>
        <s v="Uber"/>
      </sharedItems>
    </cacheField>
    <cacheField name="Usage_Time" numFmtId="49">
      <sharedItems/>
    </cacheField>
    <cacheField name="         Minutes" numFmtId="2">
      <sharedItems containsSemiMixedTypes="0" containsString="0" containsNumber="1" containsInteger="1" minValue="4" maxValue="139"/>
    </cacheField>
    <cacheField name="Percentage_of_Day" numFmtId="10">
      <sharedItems containsSemiMixedTypes="0" containsString="0" containsNumber="1" minValue="1.9" maxValue="42.9" count="11">
        <n v="29.6"/>
        <n v="22.5"/>
        <n v="17.8"/>
        <n v="17.399999999999999"/>
        <n v="3.3"/>
        <n v="1.9"/>
        <n v="42.9"/>
        <n v="33.6"/>
        <n v="4.9000000000000004"/>
        <n v="4.5999999999999996"/>
        <n v="4.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UTI" refreshedDate="45830.611289004628" createdVersion="7" refreshedVersion="7" minRefreshableVersion="3" recordCount="20" xr:uid="{00000000-000A-0000-FFFF-FFFF40000000}">
  <cacheSource type="worksheet">
    <worksheetSource ref="A15:E35" sheet="screentime"/>
  </cacheSource>
  <cacheFields count="6">
    <cacheField name="09-06-2025" numFmtId="14">
      <sharedItems containsSemiMixedTypes="0" containsNonDate="0" containsDate="1" containsString="0" minDate="2025-06-09T00:00:00" maxDate="2025-06-13T00:00:00"/>
    </cacheField>
    <cacheField name="Weekday" numFmtId="14">
      <sharedItems count="1">
        <s v="Weekday"/>
      </sharedItems>
    </cacheField>
    <cacheField name="YouTube" numFmtId="49">
      <sharedItems count="8">
        <s v="WhatsApp"/>
        <s v="Instagram"/>
        <s v="Snapchat"/>
        <s v="InShorts"/>
        <s v="YouTube"/>
        <s v="Google"/>
        <s v="Gmail"/>
        <s v="LinkedIn"/>
      </sharedItems>
    </cacheField>
    <cacheField name="2h 15m" numFmtId="49">
      <sharedItems/>
    </cacheField>
    <cacheField name="135.00" numFmtId="2">
      <sharedItems containsSemiMixedTypes="0" containsString="0" containsNumber="1" containsInteger="1" minValue="10" maxValue="137"/>
    </cacheField>
    <cacheField name="3610.00%" numFmtId="10">
      <sharedItems containsSemiMixedTypes="0" containsString="0" containsNumber="1" minValue="3.3" maxValue="41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UTI" refreshedDate="45830.590639467591" backgroundQuery="1" createdVersion="7" refreshedVersion="7" minRefreshableVersion="3" recordCount="0" supportSubquery="1" supportAdvancedDrill="1" xr:uid="{00000000-000A-0000-FFFF-FFFF41000000}">
  <cacheSource type="external" connectionId="1"/>
  <cacheFields count="2">
    <cacheField name="[Range].[Day_Type].[Day_Type]" caption="Day_Type" numFmtId="0" hierarchy="1" level="1">
      <sharedItems count="2">
        <s v="Weekday"/>
        <s v="Weekend"/>
      </sharedItems>
    </cacheField>
    <cacheField name="[Measures].[Sum of Minutes]" caption="Sum of Minutes" numFmtId="0" hierarchy="8" level="32767"/>
  </cacheFields>
  <cacheHierarchies count="9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y_Type]" caption="Day_Type" attribute="1" defaultMemberUniqueName="[Range].[Day_Type].[All]" allUniqueName="[Range].[Day_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pp_Name]" caption="App_Name" attribute="1" defaultMemberUniqueName="[Range].[App_Name].[All]" allUniqueName="[Range].[App_Name].[All]" dimensionUniqueName="[Range]" displayFolder="" count="0" memberValueDatatype="130" unbalanced="0"/>
    <cacheHierarchy uniqueName="[Range].[Usage_Time]" caption="Usage_Time" attribute="1" defaultMemberUniqueName="[Range].[Usage_Time].[All]" allUniqueName="[Range].[Usage_Time].[All]" dimensionUniqueName="[Range]" displayFolder="" count="0" memberValueDatatype="130" unbalanced="0"/>
    <cacheHierarchy uniqueName="[Range].[Minutes]" caption="Minutes" attribute="1" defaultMemberUniqueName="[Range].[Minutes].[All]" allUniqueName="[Range].[Minutes].[All]" dimensionUniqueName="[Range]" displayFolder="" count="0" memberValueDatatype="20" unbalanced="0"/>
    <cacheHierarchy uniqueName="[Range].[Percentage_of_Day]" caption="Percentage_of_Day" attribute="1" defaultMemberUniqueName="[Range].[Percentage_of_Day].[All]" allUniqueName="[Range].[Percentage_of_Day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inutes]" caption="Sum of Minut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x v="0"/>
    <x v="0"/>
    <s v="1h 3m"/>
    <x v="0"/>
    <n v="29.6"/>
  </r>
  <r>
    <x v="0"/>
    <x v="1"/>
    <s v="48m"/>
    <x v="1"/>
    <n v="22.5"/>
  </r>
  <r>
    <x v="0"/>
    <x v="2"/>
    <s v="38m"/>
    <x v="2"/>
    <n v="17.8"/>
  </r>
  <r>
    <x v="0"/>
    <x v="3"/>
    <s v="37m"/>
    <x v="3"/>
    <n v="17.399999999999999"/>
  </r>
  <r>
    <x v="0"/>
    <x v="4"/>
    <s v="7m"/>
    <x v="4"/>
    <n v="3.3"/>
  </r>
  <r>
    <x v="0"/>
    <x v="5"/>
    <s v="4m"/>
    <x v="5"/>
    <n v="1.9"/>
  </r>
  <r>
    <x v="1"/>
    <x v="0"/>
    <s v="2h 19m"/>
    <x v="6"/>
    <n v="42.9"/>
  </r>
  <r>
    <x v="1"/>
    <x v="2"/>
    <s v="1h 49m"/>
    <x v="7"/>
    <n v="33.6"/>
  </r>
  <r>
    <x v="1"/>
    <x v="6"/>
    <s v="16m"/>
    <x v="8"/>
    <n v="4.9000000000000004"/>
  </r>
  <r>
    <x v="1"/>
    <x v="7"/>
    <s v="15m"/>
    <x v="9"/>
    <n v="4.5999999999999996"/>
  </r>
  <r>
    <x v="1"/>
    <x v="8"/>
    <s v="14m"/>
    <x v="10"/>
    <n v="4.3"/>
  </r>
  <r>
    <x v="2"/>
    <x v="1"/>
    <s v="2h 15m"/>
    <x v="11"/>
    <n v="36.1"/>
  </r>
  <r>
    <x v="2"/>
    <x v="2"/>
    <s v="2h 9m"/>
    <x v="12"/>
    <n v="34.5"/>
  </r>
  <r>
    <x v="2"/>
    <x v="0"/>
    <s v="27m"/>
    <x v="13"/>
    <n v="7.2"/>
  </r>
  <r>
    <x v="2"/>
    <x v="4"/>
    <s v="23m"/>
    <x v="14"/>
    <n v="6.1"/>
  </r>
  <r>
    <x v="2"/>
    <x v="9"/>
    <s v="14m"/>
    <x v="10"/>
    <n v="3.7"/>
  </r>
  <r>
    <x v="3"/>
    <x v="0"/>
    <s v="1h 20m"/>
    <x v="15"/>
    <n v="24.2"/>
  </r>
  <r>
    <x v="3"/>
    <x v="2"/>
    <s v="1h 5m"/>
    <x v="16"/>
    <n v="19.600000000000001"/>
  </r>
  <r>
    <x v="3"/>
    <x v="1"/>
    <s v="49m"/>
    <x v="17"/>
    <n v="14.8"/>
  </r>
  <r>
    <x v="3"/>
    <x v="3"/>
    <s v="43m"/>
    <x v="18"/>
    <n v="13"/>
  </r>
  <r>
    <x v="3"/>
    <x v="10"/>
    <s v="15m"/>
    <x v="9"/>
    <n v="4.5"/>
  </r>
  <r>
    <x v="4"/>
    <x v="0"/>
    <s v="1h 21m"/>
    <x v="19"/>
    <n v="34.799999999999997"/>
  </r>
  <r>
    <x v="4"/>
    <x v="2"/>
    <s v="52m"/>
    <x v="20"/>
    <n v="22.3"/>
  </r>
  <r>
    <x v="4"/>
    <x v="1"/>
    <s v="48m"/>
    <x v="1"/>
    <n v="20.6"/>
  </r>
  <r>
    <x v="4"/>
    <x v="3"/>
    <s v="21m"/>
    <x v="21"/>
    <n v="9"/>
  </r>
  <r>
    <x v="4"/>
    <x v="4"/>
    <s v="10m"/>
    <x v="22"/>
    <n v="4.3"/>
  </r>
  <r>
    <x v="5"/>
    <x v="2"/>
    <s v="2h 17m"/>
    <x v="23"/>
    <n v="41.3"/>
  </r>
  <r>
    <x v="5"/>
    <x v="1"/>
    <s v="59m"/>
    <x v="24"/>
    <n v="17.8"/>
  </r>
  <r>
    <x v="5"/>
    <x v="0"/>
    <s v="49m"/>
    <x v="17"/>
    <n v="14.8"/>
  </r>
  <r>
    <x v="5"/>
    <x v="3"/>
    <s v="33m"/>
    <x v="25"/>
    <n v="9.9"/>
  </r>
  <r>
    <x v="5"/>
    <x v="4"/>
    <s v="28m"/>
    <x v="26"/>
    <n v="8.4"/>
  </r>
  <r>
    <x v="5"/>
    <x v="5"/>
    <s v="11m"/>
    <x v="27"/>
    <n v="3.3"/>
  </r>
  <r>
    <x v="6"/>
    <x v="0"/>
    <s v="2h 43m"/>
    <x v="28"/>
    <n v="38.700000000000003"/>
  </r>
  <r>
    <x v="6"/>
    <x v="2"/>
    <s v="2h 32m"/>
    <x v="29"/>
    <n v="36.1"/>
  </r>
  <r>
    <x v="6"/>
    <x v="11"/>
    <s v="29m"/>
    <x v="30"/>
    <n v="6.9"/>
  </r>
  <r>
    <x v="6"/>
    <x v="5"/>
    <s v="23m"/>
    <x v="14"/>
    <n v="5.5"/>
  </r>
  <r>
    <x v="6"/>
    <x v="1"/>
    <s v="18m"/>
    <x v="31"/>
    <n v="4.3"/>
  </r>
  <r>
    <x v="6"/>
    <x v="4"/>
    <s v="11m"/>
    <x v="27"/>
    <n v="2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">
  <r>
    <d v="2025-06-07T00:00:00"/>
    <s v="Weekend"/>
    <x v="0"/>
    <s v="1h 3m"/>
    <n v="63"/>
    <x v="0"/>
  </r>
  <r>
    <d v="2025-06-07T00:00:00"/>
    <s v="Weekend"/>
    <x v="1"/>
    <s v="48m"/>
    <n v="48"/>
    <x v="1"/>
  </r>
  <r>
    <d v="2025-06-07T00:00:00"/>
    <s v="Weekend"/>
    <x v="2"/>
    <s v="38m"/>
    <n v="38"/>
    <x v="2"/>
  </r>
  <r>
    <d v="2025-06-07T00:00:00"/>
    <s v="Weekend"/>
    <x v="3"/>
    <s v="37m"/>
    <n v="37"/>
    <x v="3"/>
  </r>
  <r>
    <d v="2025-06-07T00:00:00"/>
    <s v="Weekend"/>
    <x v="4"/>
    <s v="7m"/>
    <n v="7"/>
    <x v="4"/>
  </r>
  <r>
    <d v="2025-06-07T00:00:00"/>
    <s v="Weekend"/>
    <x v="5"/>
    <s v="4m"/>
    <n v="4"/>
    <x v="5"/>
  </r>
  <r>
    <d v="2025-06-08T00:00:00"/>
    <s v="Weekend"/>
    <x v="0"/>
    <s v="2h 19m"/>
    <n v="139"/>
    <x v="6"/>
  </r>
  <r>
    <d v="2025-06-08T00:00:00"/>
    <s v="Weekend"/>
    <x v="2"/>
    <s v="1h 49m"/>
    <n v="109"/>
    <x v="7"/>
  </r>
  <r>
    <d v="2025-06-08T00:00:00"/>
    <s v="Weekend"/>
    <x v="6"/>
    <s v="16m"/>
    <n v="16"/>
    <x v="8"/>
  </r>
  <r>
    <d v="2025-06-08T00:00:00"/>
    <s v="Weekend"/>
    <x v="7"/>
    <s v="15m"/>
    <n v="15"/>
    <x v="9"/>
  </r>
  <r>
    <d v="2025-06-08T00:00:00"/>
    <s v="Weekend"/>
    <x v="8"/>
    <s v="14m"/>
    <n v="14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">
  <r>
    <d v="2025-06-09T00:00:00"/>
    <x v="0"/>
    <x v="0"/>
    <s v="2h 9m"/>
    <n v="129"/>
    <n v="34.5"/>
  </r>
  <r>
    <d v="2025-06-09T00:00:00"/>
    <x v="0"/>
    <x v="1"/>
    <s v="27m"/>
    <n v="27"/>
    <n v="7.2"/>
  </r>
  <r>
    <d v="2025-06-09T00:00:00"/>
    <x v="0"/>
    <x v="2"/>
    <s v="23m"/>
    <n v="23"/>
    <n v="6.1"/>
  </r>
  <r>
    <d v="2025-06-09T00:00:00"/>
    <x v="0"/>
    <x v="3"/>
    <s v="14m"/>
    <n v="14"/>
    <n v="3.7"/>
  </r>
  <r>
    <d v="2025-06-10T00:00:00"/>
    <x v="0"/>
    <x v="1"/>
    <s v="1h 20m"/>
    <n v="80"/>
    <n v="24.2"/>
  </r>
  <r>
    <d v="2025-06-10T00:00:00"/>
    <x v="0"/>
    <x v="0"/>
    <s v="1h 5m"/>
    <n v="65"/>
    <n v="19.600000000000001"/>
  </r>
  <r>
    <d v="2025-06-10T00:00:00"/>
    <x v="0"/>
    <x v="4"/>
    <s v="49m"/>
    <n v="49"/>
    <n v="14.8"/>
  </r>
  <r>
    <d v="2025-06-10T00:00:00"/>
    <x v="0"/>
    <x v="5"/>
    <s v="43m"/>
    <n v="43"/>
    <n v="13"/>
  </r>
  <r>
    <d v="2025-06-10T00:00:00"/>
    <x v="0"/>
    <x v="6"/>
    <s v="15m"/>
    <n v="15"/>
    <n v="4.5"/>
  </r>
  <r>
    <d v="2025-06-11T00:00:00"/>
    <x v="0"/>
    <x v="1"/>
    <s v="1h 21m"/>
    <n v="81"/>
    <n v="34.799999999999997"/>
  </r>
  <r>
    <d v="2025-06-11T00:00:00"/>
    <x v="0"/>
    <x v="0"/>
    <s v="52m"/>
    <n v="52"/>
    <n v="22.3"/>
  </r>
  <r>
    <d v="2025-06-11T00:00:00"/>
    <x v="0"/>
    <x v="4"/>
    <s v="48m"/>
    <n v="48"/>
    <n v="20.6"/>
  </r>
  <r>
    <d v="2025-06-11T00:00:00"/>
    <x v="0"/>
    <x v="5"/>
    <s v="21m"/>
    <n v="21"/>
    <n v="9"/>
  </r>
  <r>
    <d v="2025-06-11T00:00:00"/>
    <x v="0"/>
    <x v="2"/>
    <s v="10m"/>
    <n v="10"/>
    <n v="4.3"/>
  </r>
  <r>
    <d v="2025-06-12T00:00:00"/>
    <x v="0"/>
    <x v="0"/>
    <s v="2h 17m"/>
    <n v="137"/>
    <n v="41.3"/>
  </r>
  <r>
    <d v="2025-06-12T00:00:00"/>
    <x v="0"/>
    <x v="4"/>
    <s v="59m"/>
    <n v="59"/>
    <n v="17.8"/>
  </r>
  <r>
    <d v="2025-06-12T00:00:00"/>
    <x v="0"/>
    <x v="1"/>
    <s v="49m"/>
    <n v="49"/>
    <n v="14.8"/>
  </r>
  <r>
    <d v="2025-06-12T00:00:00"/>
    <x v="0"/>
    <x v="5"/>
    <s v="33m"/>
    <n v="33"/>
    <n v="9.9"/>
  </r>
  <r>
    <d v="2025-06-12T00:00:00"/>
    <x v="0"/>
    <x v="2"/>
    <s v="28m"/>
    <n v="28"/>
    <n v="8.4"/>
  </r>
  <r>
    <d v="2025-06-12T00:00:00"/>
    <x v="0"/>
    <x v="7"/>
    <s v="11m"/>
    <n v="11"/>
    <n v="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Date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ate">
  <location ref="M7:N15" firstHeaderRow="1" firstDataRow="1" firstDataCol="1"/>
  <pivotFields count="5">
    <pivotField axis="axisRow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 Minutes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App_Name">
  <location ref="A3:B16" firstHeaderRow="1" firstDataRow="1" firstDataCol="1"/>
  <pivotFields count="5">
    <pivotField numFmtId="14" showAll="0"/>
    <pivotField axis="axisRow" showAll="0" sortType="descending">
      <items count="13">
        <item x="11"/>
        <item x="1"/>
        <item x="2"/>
        <item x="8"/>
        <item x="4"/>
        <item x="7"/>
        <item x="5"/>
        <item x="0"/>
        <item x="9"/>
        <item x="3"/>
        <item x="1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33">
        <item x="5"/>
        <item x="4"/>
        <item x="22"/>
        <item x="27"/>
        <item x="10"/>
        <item x="9"/>
        <item x="8"/>
        <item x="31"/>
        <item x="21"/>
        <item x="14"/>
        <item x="13"/>
        <item x="26"/>
        <item x="30"/>
        <item x="25"/>
        <item x="3"/>
        <item x="2"/>
        <item x="18"/>
        <item x="1"/>
        <item x="17"/>
        <item x="20"/>
        <item x="24"/>
        <item x="0"/>
        <item x="16"/>
        <item x="15"/>
        <item x="19"/>
        <item x="7"/>
        <item x="12"/>
        <item x="11"/>
        <item x="23"/>
        <item x="6"/>
        <item x="29"/>
        <item x="28"/>
        <item t="default"/>
      </items>
    </pivotField>
    <pivotField showAll="0"/>
  </pivotFields>
  <rowFields count="1">
    <field x="1"/>
  </rowFields>
  <rowItems count="13">
    <i>
      <x v="2"/>
    </i>
    <i>
      <x v="7"/>
    </i>
    <i>
      <x v="1"/>
    </i>
    <i>
      <x v="9"/>
    </i>
    <i>
      <x v="4"/>
    </i>
    <i>
      <x v="6"/>
    </i>
    <i>
      <x/>
    </i>
    <i>
      <x v="11"/>
    </i>
    <i>
      <x v="10"/>
    </i>
    <i>
      <x v="5"/>
    </i>
    <i>
      <x v="3"/>
    </i>
    <i>
      <x v="8"/>
    </i>
    <i t="grand">
      <x/>
    </i>
  </rowItems>
  <colItems count="1">
    <i/>
  </colItems>
  <dataFields count="1">
    <dataField name="Sum of  Minutes" fld="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 rowHeaderCaption="App_Name">
  <location ref="A3:B7" firstHeaderRow="1" firstDataRow="1" firstDataCol="1"/>
  <pivotFields count="6">
    <pivotField numFmtId="14" showAll="0"/>
    <pivotField showAll="0">
      <items count="2">
        <item x="0"/>
        <item t="default"/>
      </items>
    </pivotField>
    <pivotField axis="axisRow" showAll="0">
      <items count="9">
        <item h="1" x="6"/>
        <item x="5"/>
        <item h="1" x="3"/>
        <item x="1"/>
        <item h="1" x="7"/>
        <item h="1" x="2"/>
        <item x="0"/>
        <item h="1" x="4"/>
        <item t="default"/>
      </items>
    </pivotField>
    <pivotField showAll="0"/>
    <pivotField numFmtId="2" showAll="0"/>
    <pivotField dataField="1" numFmtId="10" showAll="0"/>
  </pivotFields>
  <rowFields count="1">
    <field x="2"/>
  </rowFields>
  <rowItems count="4">
    <i>
      <x v="1"/>
    </i>
    <i>
      <x v="3"/>
    </i>
    <i>
      <x v="6"/>
    </i>
    <i t="grand">
      <x/>
    </i>
  </rowItems>
  <colItems count="1">
    <i/>
  </colItems>
  <dataFields count="1">
    <dataField name="Sum of Percentage" fld="5" baseField="2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App_Name">
  <location ref="A3:B13" firstHeaderRow="1" firstDataRow="1" firstDataCol="1"/>
  <pivotFields count="6">
    <pivotField numFmtId="14" showAll="0"/>
    <pivotField showAll="0"/>
    <pivotField axis="axisRow" showAll="0">
      <items count="10">
        <item x="6"/>
        <item x="3"/>
        <item x="0"/>
        <item x="5"/>
        <item x="7"/>
        <item x="4"/>
        <item x="8"/>
        <item x="2"/>
        <item x="1"/>
        <item t="default"/>
      </items>
    </pivotField>
    <pivotField showAll="0"/>
    <pivotField numFmtId="2" showAll="0"/>
    <pivotField dataField="1" numFmtId="10" showAll="0">
      <items count="12">
        <item x="5"/>
        <item x="4"/>
        <item x="10"/>
        <item x="9"/>
        <item x="8"/>
        <item x="3"/>
        <item x="2"/>
        <item x="1"/>
        <item x="0"/>
        <item x="7"/>
        <item x="6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ercentage_of_Day" fld="5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Day_Type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Minutes" fld="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creentime!$A$3:$F$4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pp_Name">
  <location ref="A1:B5" firstHeaderRow="1" firstDataRow="1" firstDataCol="1"/>
  <pivotFields count="5">
    <pivotField numFmtId="14" showAll="0"/>
    <pivotField axis="axisRow" showAll="0">
      <items count="13">
        <item h="1" x="6"/>
        <item h="1" x="10"/>
        <item h="1" x="3"/>
        <item h="1" x="9"/>
        <item x="0"/>
        <item h="1" x="5"/>
        <item h="1" x="7"/>
        <item h="1" x="4"/>
        <item h="1" x="8"/>
        <item x="2"/>
        <item x="1"/>
        <item h="1" x="11"/>
        <item t="default"/>
      </items>
    </pivotField>
    <pivotField showAll="0"/>
    <pivotField dataField="1" showAll="0"/>
    <pivotField showAll="0"/>
  </pivotFields>
  <rowFields count="1">
    <field x="1"/>
  </rowFields>
  <rowItems count="4">
    <i>
      <x v="4"/>
    </i>
    <i>
      <x v="9"/>
    </i>
    <i>
      <x v="10"/>
    </i>
    <i t="grand">
      <x/>
    </i>
  </rowItems>
  <colItems count="1">
    <i/>
  </colItems>
  <dataFields count="1">
    <dataField name="Sum of          Minut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H3:M41" totalsRowShown="0">
  <autoFilter ref="H3:M41" xr:uid="{00000000-0009-0000-0100-000001000000}"/>
  <tableColumns count="6">
    <tableColumn id="1" xr3:uid="{00000000-0010-0000-0000-000001000000}" name="      Date" dataDxfId="3"/>
    <tableColumn id="2" xr3:uid="{00000000-0010-0000-0000-000002000000}" name="Day_Type" dataDxfId="2"/>
    <tableColumn id="3" xr3:uid="{00000000-0010-0000-0000-000003000000}" name="App_Name"/>
    <tableColumn id="4" xr3:uid="{00000000-0010-0000-0000-000004000000}" name="Usage_Time"/>
    <tableColumn id="5" xr3:uid="{00000000-0010-0000-0000-000005000000}" name="         Minutes" dataDxfId="1"/>
    <tableColumn id="6" xr3:uid="{00000000-0010-0000-0000-000006000000}" name="Percentage_of_Da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6"/>
  <sheetViews>
    <sheetView zoomScale="103" workbookViewId="0">
      <selection activeCell="H25" sqref="H25"/>
    </sheetView>
  </sheetViews>
  <sheetFormatPr defaultRowHeight="14.4" x14ac:dyDescent="0.3"/>
  <cols>
    <col min="1" max="1" width="12.6640625" bestFit="1" customWidth="1"/>
    <col min="2" max="2" width="14.88671875" bestFit="1" customWidth="1"/>
    <col min="12" max="12" width="10.77734375" bestFit="1" customWidth="1"/>
    <col min="13" max="13" width="12.77734375" bestFit="1" customWidth="1"/>
    <col min="14" max="14" width="22" bestFit="1" customWidth="1"/>
  </cols>
  <sheetData>
    <row r="3" spans="1:14" x14ac:dyDescent="0.3">
      <c r="A3" s="2" t="s">
        <v>1</v>
      </c>
      <c r="B3" t="s">
        <v>51</v>
      </c>
    </row>
    <row r="4" spans="1:14" x14ac:dyDescent="0.3">
      <c r="A4" s="3" t="s">
        <v>9</v>
      </c>
      <c r="B4" s="5">
        <v>682</v>
      </c>
    </row>
    <row r="5" spans="1:14" x14ac:dyDescent="0.3">
      <c r="A5" s="3" t="s">
        <v>5</v>
      </c>
      <c r="B5" s="5">
        <v>602</v>
      </c>
    </row>
    <row r="6" spans="1:14" x14ac:dyDescent="0.3">
      <c r="A6" s="3" t="s">
        <v>7</v>
      </c>
      <c r="B6" s="5">
        <v>357</v>
      </c>
    </row>
    <row r="7" spans="1:14" x14ac:dyDescent="0.3">
      <c r="A7" s="3" t="s">
        <v>11</v>
      </c>
      <c r="B7" s="5">
        <v>134</v>
      </c>
      <c r="M7" s="2" t="s">
        <v>0</v>
      </c>
      <c r="N7" t="s">
        <v>52</v>
      </c>
    </row>
    <row r="8" spans="1:14" x14ac:dyDescent="0.3">
      <c r="A8" s="3" t="s">
        <v>13</v>
      </c>
      <c r="B8" s="5">
        <v>79</v>
      </c>
      <c r="M8" s="6">
        <v>45815</v>
      </c>
      <c r="N8" s="4">
        <v>32.833333333333336</v>
      </c>
    </row>
    <row r="9" spans="1:14" x14ac:dyDescent="0.3">
      <c r="A9" s="3" t="s">
        <v>15</v>
      </c>
      <c r="B9" s="5">
        <v>38</v>
      </c>
      <c r="M9" s="6">
        <v>45816</v>
      </c>
      <c r="N9" s="4">
        <v>58.6</v>
      </c>
    </row>
    <row r="10" spans="1:14" x14ac:dyDescent="0.3">
      <c r="A10" s="3" t="s">
        <v>46</v>
      </c>
      <c r="B10" s="5">
        <v>29</v>
      </c>
      <c r="M10" s="6">
        <v>45817</v>
      </c>
      <c r="N10" s="4">
        <v>65.599999999999994</v>
      </c>
    </row>
    <row r="11" spans="1:14" x14ac:dyDescent="0.3">
      <c r="A11" s="3" t="s">
        <v>19</v>
      </c>
      <c r="B11" s="5">
        <v>16</v>
      </c>
      <c r="M11" s="6">
        <v>45818</v>
      </c>
      <c r="N11" s="4">
        <v>50.4</v>
      </c>
    </row>
    <row r="12" spans="1:14" x14ac:dyDescent="0.3">
      <c r="A12" s="3" t="s">
        <v>34</v>
      </c>
      <c r="B12" s="5">
        <v>15</v>
      </c>
      <c r="M12" s="6">
        <v>45819</v>
      </c>
      <c r="N12" s="4">
        <v>42.4</v>
      </c>
    </row>
    <row r="13" spans="1:14" x14ac:dyDescent="0.3">
      <c r="A13" s="3" t="s">
        <v>21</v>
      </c>
      <c r="B13" s="5">
        <v>15</v>
      </c>
      <c r="M13" s="6">
        <v>45820</v>
      </c>
      <c r="N13" s="4">
        <v>52.833333333333336</v>
      </c>
    </row>
    <row r="14" spans="1:14" x14ac:dyDescent="0.3">
      <c r="A14" s="3" t="s">
        <v>23</v>
      </c>
      <c r="B14" s="5">
        <v>14</v>
      </c>
      <c r="M14" s="6">
        <v>45822</v>
      </c>
      <c r="N14" s="4">
        <v>66</v>
      </c>
    </row>
    <row r="15" spans="1:14" x14ac:dyDescent="0.3">
      <c r="A15" s="3" t="s">
        <v>29</v>
      </c>
      <c r="B15" s="5">
        <v>14</v>
      </c>
      <c r="M15" s="6" t="s">
        <v>49</v>
      </c>
      <c r="N15" s="4">
        <v>52.5</v>
      </c>
    </row>
    <row r="16" spans="1:14" x14ac:dyDescent="0.3">
      <c r="A16" s="3" t="s">
        <v>49</v>
      </c>
      <c r="B16" s="5">
        <v>1995</v>
      </c>
      <c r="N16" s="5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7"/>
  <sheetViews>
    <sheetView tabSelected="1" topLeftCell="A2" zoomScale="96" workbookViewId="0">
      <selection activeCell="B16" sqref="B16"/>
    </sheetView>
  </sheetViews>
  <sheetFormatPr defaultRowHeight="14.4" x14ac:dyDescent="0.3"/>
  <cols>
    <col min="1" max="1" width="13.21875" bestFit="1" customWidth="1"/>
    <col min="2" max="2" width="17.6640625" bestFit="1" customWidth="1"/>
    <col min="3" max="3" width="11.21875" bestFit="1" customWidth="1"/>
    <col min="4" max="4" width="8.33203125" bestFit="1" customWidth="1"/>
    <col min="5" max="5" width="9.88671875" bestFit="1" customWidth="1"/>
    <col min="6" max="6" width="8.5546875" bestFit="1" customWidth="1"/>
    <col min="7" max="7" width="9.21875" bestFit="1" customWidth="1"/>
    <col min="8" max="8" width="10.21875" bestFit="1" customWidth="1"/>
    <col min="9" max="9" width="8.77734375" bestFit="1" customWidth="1"/>
    <col min="10" max="10" width="11.21875" bestFit="1" customWidth="1"/>
  </cols>
  <sheetData>
    <row r="3" spans="1:2" x14ac:dyDescent="0.3">
      <c r="A3" s="2" t="s">
        <v>1</v>
      </c>
      <c r="B3" t="s">
        <v>58</v>
      </c>
    </row>
    <row r="4" spans="1:2" x14ac:dyDescent="0.3">
      <c r="A4" s="3" t="s">
        <v>11</v>
      </c>
      <c r="B4" s="4">
        <v>31.9</v>
      </c>
    </row>
    <row r="5" spans="1:2" x14ac:dyDescent="0.3">
      <c r="A5" s="3" t="s">
        <v>5</v>
      </c>
      <c r="B5" s="4">
        <v>81</v>
      </c>
    </row>
    <row r="6" spans="1:2" x14ac:dyDescent="0.3">
      <c r="A6" s="3" t="s">
        <v>9</v>
      </c>
      <c r="B6" s="4">
        <v>117.7</v>
      </c>
    </row>
    <row r="7" spans="1:2" x14ac:dyDescent="0.3">
      <c r="A7" s="3" t="s">
        <v>49</v>
      </c>
      <c r="B7" s="4">
        <v>230.60000000000002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3"/>
  <sheetViews>
    <sheetView topLeftCell="A2" zoomScale="99" workbookViewId="0">
      <selection activeCell="N11" sqref="N11"/>
    </sheetView>
  </sheetViews>
  <sheetFormatPr defaultRowHeight="14.4" x14ac:dyDescent="0.3"/>
  <cols>
    <col min="1" max="1" width="12.5546875" bestFit="1" customWidth="1"/>
    <col min="2" max="2" width="24.21875" bestFit="1" customWidth="1"/>
  </cols>
  <sheetData>
    <row r="3" spans="1:2" x14ac:dyDescent="0.3">
      <c r="A3" s="2" t="s">
        <v>1</v>
      </c>
      <c r="B3" t="s">
        <v>57</v>
      </c>
    </row>
    <row r="4" spans="1:2" x14ac:dyDescent="0.3">
      <c r="A4" s="3" t="s">
        <v>19</v>
      </c>
      <c r="B4" s="4">
        <v>4.9000000000000004</v>
      </c>
    </row>
    <row r="5" spans="1:2" x14ac:dyDescent="0.3">
      <c r="A5" s="3" t="s">
        <v>11</v>
      </c>
      <c r="B5" s="4">
        <v>17.399999999999999</v>
      </c>
    </row>
    <row r="6" spans="1:2" x14ac:dyDescent="0.3">
      <c r="A6" s="3" t="s">
        <v>5</v>
      </c>
      <c r="B6" s="4">
        <v>72.5</v>
      </c>
    </row>
    <row r="7" spans="1:2" x14ac:dyDescent="0.3">
      <c r="A7" s="3" t="s">
        <v>15</v>
      </c>
      <c r="B7" s="4">
        <v>1.9</v>
      </c>
    </row>
    <row r="8" spans="1:2" x14ac:dyDescent="0.3">
      <c r="A8" s="3" t="s">
        <v>21</v>
      </c>
      <c r="B8" s="4">
        <v>4.5999999999999996</v>
      </c>
    </row>
    <row r="9" spans="1:2" x14ac:dyDescent="0.3">
      <c r="A9" s="3" t="s">
        <v>13</v>
      </c>
      <c r="B9" s="4">
        <v>3.3</v>
      </c>
    </row>
    <row r="10" spans="1:2" x14ac:dyDescent="0.3">
      <c r="A10" s="3" t="s">
        <v>23</v>
      </c>
      <c r="B10" s="4">
        <v>4.3</v>
      </c>
    </row>
    <row r="11" spans="1:2" x14ac:dyDescent="0.3">
      <c r="A11" s="3" t="s">
        <v>9</v>
      </c>
      <c r="B11" s="4">
        <v>51.400000000000006</v>
      </c>
    </row>
    <row r="12" spans="1:2" x14ac:dyDescent="0.3">
      <c r="A12" s="3" t="s">
        <v>7</v>
      </c>
      <c r="B12" s="4">
        <v>22.5</v>
      </c>
    </row>
    <row r="13" spans="1:2" x14ac:dyDescent="0.3">
      <c r="A13" s="3" t="s">
        <v>49</v>
      </c>
      <c r="B13" s="4">
        <v>182.8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6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9" bestFit="1" customWidth="1"/>
    <col min="4" max="4" width="10.77734375" bestFit="1" customWidth="1"/>
  </cols>
  <sheetData>
    <row r="3" spans="1:2" x14ac:dyDescent="0.3">
      <c r="A3" s="2" t="s">
        <v>53</v>
      </c>
      <c r="B3" t="s">
        <v>56</v>
      </c>
    </row>
    <row r="4" spans="1:2" x14ac:dyDescent="0.3">
      <c r="A4" s="3" t="s">
        <v>54</v>
      </c>
      <c r="B4" s="4">
        <v>1109</v>
      </c>
    </row>
    <row r="5" spans="1:2" x14ac:dyDescent="0.3">
      <c r="A5" s="3" t="s">
        <v>55</v>
      </c>
      <c r="B5" s="4">
        <v>886</v>
      </c>
    </row>
    <row r="6" spans="1:2" x14ac:dyDescent="0.3">
      <c r="A6" s="3" t="s">
        <v>49</v>
      </c>
      <c r="B6" s="4">
        <v>1995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8.5546875" bestFit="1" customWidth="1"/>
  </cols>
  <sheetData>
    <row r="1" spans="1:2" x14ac:dyDescent="0.3">
      <c r="A1" s="2" t="s">
        <v>1</v>
      </c>
      <c r="B1" t="s">
        <v>50</v>
      </c>
    </row>
    <row r="2" spans="1:2" x14ac:dyDescent="0.3">
      <c r="A2" s="3" t="s">
        <v>5</v>
      </c>
      <c r="B2" s="4">
        <v>602</v>
      </c>
    </row>
    <row r="3" spans="1:2" x14ac:dyDescent="0.3">
      <c r="A3" s="3" t="s">
        <v>9</v>
      </c>
      <c r="B3" s="4">
        <v>682</v>
      </c>
    </row>
    <row r="4" spans="1:2" x14ac:dyDescent="0.3">
      <c r="A4" s="3" t="s">
        <v>7</v>
      </c>
      <c r="B4" s="4">
        <v>357</v>
      </c>
    </row>
    <row r="5" spans="1:2" x14ac:dyDescent="0.3">
      <c r="A5" s="3" t="s">
        <v>49</v>
      </c>
      <c r="B5" s="4">
        <v>1641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M41"/>
  <sheetViews>
    <sheetView topLeftCell="F1" zoomScale="90" workbookViewId="0">
      <selection activeCell="H41" sqref="H41"/>
    </sheetView>
  </sheetViews>
  <sheetFormatPr defaultRowHeight="14.4" x14ac:dyDescent="0.3"/>
  <cols>
    <col min="1" max="1" width="10.33203125" bestFit="1" customWidth="1"/>
    <col min="2" max="2" width="10.33203125" customWidth="1"/>
    <col min="3" max="3" width="11.88671875" customWidth="1"/>
    <col min="4" max="4" width="13.77734375" customWidth="1"/>
    <col min="5" max="5" width="14" customWidth="1"/>
    <col min="8" max="8" width="10.5546875" bestFit="1" customWidth="1"/>
    <col min="9" max="9" width="11.77734375" customWidth="1"/>
    <col min="10" max="10" width="19.77734375" customWidth="1"/>
    <col min="11" max="11" width="15.44140625" customWidth="1"/>
    <col min="12" max="12" width="15.33203125" customWidth="1"/>
    <col min="13" max="13" width="20.6640625" customWidth="1"/>
  </cols>
  <sheetData>
    <row r="3" spans="1:13" x14ac:dyDescent="0.3">
      <c r="A3" s="1" t="s">
        <v>0</v>
      </c>
      <c r="B3" s="1" t="s">
        <v>53</v>
      </c>
      <c r="C3" s="7" t="s">
        <v>1</v>
      </c>
      <c r="D3" s="7" t="s">
        <v>2</v>
      </c>
      <c r="E3" s="5" t="s">
        <v>3</v>
      </c>
      <c r="H3" t="s">
        <v>59</v>
      </c>
      <c r="I3" s="1" t="s">
        <v>53</v>
      </c>
      <c r="J3" t="s">
        <v>1</v>
      </c>
      <c r="K3" t="s">
        <v>2</v>
      </c>
      <c r="L3" s="3" t="s">
        <v>3</v>
      </c>
      <c r="M3" s="8" t="s">
        <v>4</v>
      </c>
    </row>
    <row r="4" spans="1:13" x14ac:dyDescent="0.3">
      <c r="A4" s="1">
        <v>45815</v>
      </c>
      <c r="B4" s="1" t="str">
        <f>IF(WEEKDAY(A2,2)&gt;5, "Weekend", "Weekday")</f>
        <v>Weekend</v>
      </c>
      <c r="C4" s="7" t="s">
        <v>5</v>
      </c>
      <c r="D4" s="7" t="s">
        <v>6</v>
      </c>
      <c r="E4" s="5">
        <v>63</v>
      </c>
      <c r="H4" s="1">
        <v>45815</v>
      </c>
      <c r="I4" s="1" t="str">
        <f>IF(WEEKDAY(H2,2)&gt;5, "Weekend", "Weekday")</f>
        <v>Weekend</v>
      </c>
      <c r="J4" t="s">
        <v>5</v>
      </c>
      <c r="K4" t="s">
        <v>6</v>
      </c>
      <c r="L4" s="3">
        <v>63</v>
      </c>
      <c r="M4" s="8">
        <v>29.6</v>
      </c>
    </row>
    <row r="5" spans="1:13" x14ac:dyDescent="0.3">
      <c r="A5" s="1">
        <v>45815</v>
      </c>
      <c r="B5" s="1" t="s">
        <v>55</v>
      </c>
      <c r="C5" s="7" t="s">
        <v>7</v>
      </c>
      <c r="D5" s="7" t="s">
        <v>8</v>
      </c>
      <c r="E5" s="5">
        <v>48</v>
      </c>
      <c r="H5" s="1">
        <v>45815</v>
      </c>
      <c r="I5" s="1" t="s">
        <v>55</v>
      </c>
      <c r="J5" t="s">
        <v>7</v>
      </c>
      <c r="K5" t="s">
        <v>8</v>
      </c>
      <c r="L5" s="3">
        <v>48</v>
      </c>
      <c r="M5" s="8">
        <v>22.5</v>
      </c>
    </row>
    <row r="6" spans="1:13" x14ac:dyDescent="0.3">
      <c r="A6" s="1">
        <v>45815</v>
      </c>
      <c r="B6" s="1" t="str">
        <f>IF(A6, "Weekend", "Weekday")</f>
        <v>Weekend</v>
      </c>
      <c r="C6" s="7" t="s">
        <v>9</v>
      </c>
      <c r="D6" s="7" t="s">
        <v>10</v>
      </c>
      <c r="E6" s="5">
        <v>38</v>
      </c>
      <c r="H6" s="1">
        <v>45815</v>
      </c>
      <c r="I6" s="1" t="str">
        <f>IF(H6, "Weekend", "Weekday")</f>
        <v>Weekend</v>
      </c>
      <c r="J6" t="s">
        <v>9</v>
      </c>
      <c r="K6" t="s">
        <v>10</v>
      </c>
      <c r="L6" s="3">
        <v>38</v>
      </c>
      <c r="M6" s="8">
        <v>17.8</v>
      </c>
    </row>
    <row r="7" spans="1:13" x14ac:dyDescent="0.3">
      <c r="A7" s="1">
        <v>45818</v>
      </c>
      <c r="B7" s="1" t="str">
        <f>IF(A7, "Weekend", "Weekday")</f>
        <v>Weekend</v>
      </c>
      <c r="C7" s="7" t="s">
        <v>11</v>
      </c>
      <c r="D7" s="7" t="s">
        <v>12</v>
      </c>
      <c r="E7" s="5">
        <v>37</v>
      </c>
      <c r="H7" s="1">
        <v>45815</v>
      </c>
      <c r="I7" s="1" t="str">
        <f>IF(H7, "Weekend", "Weekday")</f>
        <v>Weekend</v>
      </c>
      <c r="J7" t="s">
        <v>11</v>
      </c>
      <c r="K7" t="s">
        <v>12</v>
      </c>
      <c r="L7" s="3">
        <v>37</v>
      </c>
      <c r="M7" s="8">
        <v>17.399999999999999</v>
      </c>
    </row>
    <row r="8" spans="1:13" x14ac:dyDescent="0.3">
      <c r="A8" s="1">
        <v>45819</v>
      </c>
      <c r="B8" s="1" t="str">
        <f>IF(WEEKDAY(A2,2)&gt;5, "Weekend", "Weekday")</f>
        <v>Weekend</v>
      </c>
      <c r="C8" s="7" t="s">
        <v>13</v>
      </c>
      <c r="D8" s="7" t="s">
        <v>14</v>
      </c>
      <c r="E8" s="5">
        <v>7</v>
      </c>
      <c r="H8" s="1">
        <v>45815</v>
      </c>
      <c r="I8" s="1" t="str">
        <f>IF(WEEKDAY(H2,2)&gt;5, "Weekend", "Weekday")</f>
        <v>Weekend</v>
      </c>
      <c r="J8" t="s">
        <v>13</v>
      </c>
      <c r="K8" t="s">
        <v>14</v>
      </c>
      <c r="L8" s="3">
        <v>7</v>
      </c>
      <c r="M8" s="8">
        <v>3.3</v>
      </c>
    </row>
    <row r="9" spans="1:13" x14ac:dyDescent="0.3">
      <c r="A9" s="1">
        <v>45820</v>
      </c>
      <c r="B9" s="1" t="str">
        <f>IF(WEEKDAY(A2,2)&gt;5, "Weekend", "Weekday")</f>
        <v>Weekend</v>
      </c>
      <c r="C9" s="7" t="s">
        <v>15</v>
      </c>
      <c r="D9" s="7" t="s">
        <v>16</v>
      </c>
      <c r="E9" s="5">
        <v>4</v>
      </c>
      <c r="H9" s="1">
        <v>45815</v>
      </c>
      <c r="I9" s="1" t="str">
        <f>IF(WEEKDAY(H2,2)&gt;5, "Weekend", "Weekday")</f>
        <v>Weekend</v>
      </c>
      <c r="J9" t="s">
        <v>15</v>
      </c>
      <c r="K9" t="s">
        <v>16</v>
      </c>
      <c r="L9" s="3">
        <v>4</v>
      </c>
      <c r="M9" s="8">
        <v>1.9</v>
      </c>
    </row>
    <row r="10" spans="1:13" x14ac:dyDescent="0.3">
      <c r="A10" s="1">
        <v>45821</v>
      </c>
      <c r="B10" s="1" t="str">
        <f>IF(WEEKDAY(A2,2)&gt;5, "Weekend", "Weekday")</f>
        <v>Weekend</v>
      </c>
      <c r="C10" s="7" t="s">
        <v>5</v>
      </c>
      <c r="D10" s="7" t="s">
        <v>17</v>
      </c>
      <c r="E10" s="5">
        <v>139</v>
      </c>
      <c r="H10" s="1">
        <v>45816</v>
      </c>
      <c r="I10" s="1" t="str">
        <f>IF(WEEKDAY(H2,2)&gt;5, "Weekend", "Weekday")</f>
        <v>Weekend</v>
      </c>
      <c r="J10" t="s">
        <v>5</v>
      </c>
      <c r="K10" t="s">
        <v>17</v>
      </c>
      <c r="L10" s="3">
        <v>139</v>
      </c>
      <c r="M10" s="8">
        <v>42.9</v>
      </c>
    </row>
    <row r="11" spans="1:13" x14ac:dyDescent="0.3">
      <c r="A11" s="1">
        <v>45822</v>
      </c>
      <c r="B11" s="1" t="str">
        <f>IF(WEEKDAY(A2,2)&gt;5, "Weekend", "Weekday")</f>
        <v>Weekend</v>
      </c>
      <c r="C11" s="7" t="s">
        <v>9</v>
      </c>
      <c r="D11" s="7" t="s">
        <v>18</v>
      </c>
      <c r="E11" s="5">
        <v>109</v>
      </c>
      <c r="H11" s="1">
        <v>45816</v>
      </c>
      <c r="I11" s="1" t="str">
        <f>IF(WEEKDAY(H2,2)&gt;5, "Weekend", "Weekday")</f>
        <v>Weekend</v>
      </c>
      <c r="J11" t="s">
        <v>9</v>
      </c>
      <c r="K11" t="s">
        <v>18</v>
      </c>
      <c r="L11" s="3">
        <v>109</v>
      </c>
      <c r="M11" s="8">
        <v>33.6</v>
      </c>
    </row>
    <row r="12" spans="1:13" x14ac:dyDescent="0.3">
      <c r="A12" s="1">
        <v>45823</v>
      </c>
      <c r="B12" s="1" t="str">
        <f>IF(WEEKDAY(A2,2)&gt;5, "Weekend", "Weekday")</f>
        <v>Weekend</v>
      </c>
      <c r="C12" s="7" t="s">
        <v>19</v>
      </c>
      <c r="D12" s="7" t="s">
        <v>20</v>
      </c>
      <c r="E12" s="5">
        <v>16</v>
      </c>
      <c r="H12" s="1">
        <v>45816</v>
      </c>
      <c r="I12" s="1" t="str">
        <f>IF(WEEKDAY(H2,2)&gt;5, "Weekend", "Weekday")</f>
        <v>Weekend</v>
      </c>
      <c r="J12" t="s">
        <v>19</v>
      </c>
      <c r="K12" t="s">
        <v>20</v>
      </c>
      <c r="L12" s="3">
        <v>16</v>
      </c>
      <c r="M12" s="8">
        <v>4.9000000000000004</v>
      </c>
    </row>
    <row r="13" spans="1:13" x14ac:dyDescent="0.3">
      <c r="A13" s="1">
        <v>45824</v>
      </c>
      <c r="B13" s="1" t="str">
        <f>IF(WEEKDAY(A2,2)&gt;5, "Weekend", "Weekday")</f>
        <v>Weekend</v>
      </c>
      <c r="C13" s="7" t="s">
        <v>21</v>
      </c>
      <c r="D13" s="7" t="s">
        <v>22</v>
      </c>
      <c r="E13" s="5">
        <v>15</v>
      </c>
      <c r="H13" s="1">
        <v>45816</v>
      </c>
      <c r="I13" s="1" t="str">
        <f>IF(WEEKDAY(H2,2)&gt;5, "Weekend", "Weekday")</f>
        <v>Weekend</v>
      </c>
      <c r="J13" t="s">
        <v>21</v>
      </c>
      <c r="K13" t="s">
        <v>22</v>
      </c>
      <c r="L13" s="3">
        <v>15</v>
      </c>
      <c r="M13" s="8">
        <v>4.5999999999999996</v>
      </c>
    </row>
    <row r="14" spans="1:13" x14ac:dyDescent="0.3">
      <c r="A14" s="1">
        <v>45825</v>
      </c>
      <c r="B14" s="1" t="str">
        <f>IF(WEEKDAY(A2,2)&gt;5, "Weekend", "Weekday")</f>
        <v>Weekend</v>
      </c>
      <c r="C14" s="7" t="s">
        <v>23</v>
      </c>
      <c r="D14" s="7" t="s">
        <v>24</v>
      </c>
      <c r="E14" s="5">
        <v>14</v>
      </c>
      <c r="H14" s="1">
        <v>45816</v>
      </c>
      <c r="I14" s="1" t="str">
        <f>IF(WEEKDAY(H2,2)&gt;5, "Weekend", "Weekday")</f>
        <v>Weekend</v>
      </c>
      <c r="J14" t="s">
        <v>23</v>
      </c>
      <c r="K14" t="s">
        <v>24</v>
      </c>
      <c r="L14" s="3">
        <v>14</v>
      </c>
      <c r="M14" s="8">
        <v>4.3</v>
      </c>
    </row>
    <row r="15" spans="1:13" x14ac:dyDescent="0.3">
      <c r="A15" s="1">
        <v>45826</v>
      </c>
      <c r="B15" s="1" t="s">
        <v>54</v>
      </c>
      <c r="C15" s="7" t="s">
        <v>7</v>
      </c>
      <c r="D15" s="7" t="s">
        <v>25</v>
      </c>
      <c r="E15" s="5">
        <v>135</v>
      </c>
      <c r="H15" s="1">
        <v>45817</v>
      </c>
      <c r="I15" s="1" t="s">
        <v>54</v>
      </c>
      <c r="J15" t="s">
        <v>7</v>
      </c>
      <c r="K15" t="s">
        <v>25</v>
      </c>
      <c r="L15" s="3">
        <v>135</v>
      </c>
      <c r="M15" s="8">
        <v>36.1</v>
      </c>
    </row>
    <row r="16" spans="1:13" ht="16.2" customHeight="1" x14ac:dyDescent="0.3">
      <c r="A16" s="1">
        <v>45827</v>
      </c>
      <c r="B16" s="1" t="s">
        <v>54</v>
      </c>
      <c r="C16" s="7" t="s">
        <v>9</v>
      </c>
      <c r="D16" s="7" t="s">
        <v>26</v>
      </c>
      <c r="E16" s="5">
        <v>129</v>
      </c>
      <c r="H16" s="1">
        <v>45817</v>
      </c>
      <c r="I16" s="1" t="s">
        <v>54</v>
      </c>
      <c r="J16" t="s">
        <v>9</v>
      </c>
      <c r="K16" t="s">
        <v>26</v>
      </c>
      <c r="L16" s="3">
        <v>129</v>
      </c>
      <c r="M16" s="8">
        <v>34.5</v>
      </c>
    </row>
    <row r="17" spans="1:13" x14ac:dyDescent="0.3">
      <c r="A17" s="1">
        <v>45828</v>
      </c>
      <c r="B17" s="1" t="s">
        <v>54</v>
      </c>
      <c r="C17" s="7" t="s">
        <v>5</v>
      </c>
      <c r="D17" s="7" t="s">
        <v>27</v>
      </c>
      <c r="E17" s="5">
        <v>27</v>
      </c>
      <c r="H17" s="1">
        <v>45817</v>
      </c>
      <c r="I17" s="1" t="s">
        <v>54</v>
      </c>
      <c r="J17" t="s">
        <v>5</v>
      </c>
      <c r="K17" t="s">
        <v>27</v>
      </c>
      <c r="L17" s="3">
        <v>27</v>
      </c>
      <c r="M17" s="8">
        <v>7.2</v>
      </c>
    </row>
    <row r="18" spans="1:13" x14ac:dyDescent="0.3">
      <c r="A18" s="1">
        <v>45829</v>
      </c>
      <c r="B18" s="1" t="s">
        <v>54</v>
      </c>
      <c r="C18" s="7" t="s">
        <v>13</v>
      </c>
      <c r="D18" s="7" t="s">
        <v>28</v>
      </c>
      <c r="E18" s="5">
        <v>23</v>
      </c>
      <c r="H18" s="1">
        <v>45817</v>
      </c>
      <c r="I18" s="1" t="s">
        <v>54</v>
      </c>
      <c r="J18" t="s">
        <v>13</v>
      </c>
      <c r="K18" t="s">
        <v>28</v>
      </c>
      <c r="L18" s="3">
        <v>23</v>
      </c>
      <c r="M18" s="8">
        <v>6.1</v>
      </c>
    </row>
    <row r="19" spans="1:13" x14ac:dyDescent="0.3">
      <c r="A19" s="1">
        <v>45830</v>
      </c>
      <c r="B19" s="1" t="s">
        <v>54</v>
      </c>
      <c r="C19" s="7" t="s">
        <v>29</v>
      </c>
      <c r="D19" s="7" t="s">
        <v>24</v>
      </c>
      <c r="E19" s="5">
        <v>14</v>
      </c>
      <c r="H19" s="1">
        <v>45817</v>
      </c>
      <c r="I19" s="1" t="s">
        <v>54</v>
      </c>
      <c r="J19" t="s">
        <v>29</v>
      </c>
      <c r="K19" t="s">
        <v>24</v>
      </c>
      <c r="L19" s="3">
        <v>14</v>
      </c>
      <c r="M19" s="8">
        <v>3.7</v>
      </c>
    </row>
    <row r="20" spans="1:13" x14ac:dyDescent="0.3">
      <c r="A20" s="1">
        <v>45831</v>
      </c>
      <c r="B20" s="1" t="s">
        <v>54</v>
      </c>
      <c r="C20" s="7" t="s">
        <v>5</v>
      </c>
      <c r="D20" s="7" t="s">
        <v>30</v>
      </c>
      <c r="E20" s="5">
        <v>80</v>
      </c>
      <c r="H20" s="1">
        <v>45818</v>
      </c>
      <c r="I20" s="1" t="s">
        <v>54</v>
      </c>
      <c r="J20" t="s">
        <v>5</v>
      </c>
      <c r="K20" t="s">
        <v>30</v>
      </c>
      <c r="L20" s="3">
        <v>80</v>
      </c>
      <c r="M20" s="8">
        <v>24.2</v>
      </c>
    </row>
    <row r="21" spans="1:13" x14ac:dyDescent="0.3">
      <c r="A21" s="1">
        <v>45832</v>
      </c>
      <c r="B21" s="1" t="s">
        <v>54</v>
      </c>
      <c r="C21" s="7" t="s">
        <v>9</v>
      </c>
      <c r="D21" s="7" t="s">
        <v>31</v>
      </c>
      <c r="E21" s="5">
        <v>65</v>
      </c>
      <c r="H21" s="1">
        <v>45818</v>
      </c>
      <c r="I21" s="1" t="s">
        <v>54</v>
      </c>
      <c r="J21" t="s">
        <v>9</v>
      </c>
      <c r="K21" t="s">
        <v>31</v>
      </c>
      <c r="L21" s="3">
        <v>65</v>
      </c>
      <c r="M21" s="8">
        <v>19.600000000000001</v>
      </c>
    </row>
    <row r="22" spans="1:13" x14ac:dyDescent="0.3">
      <c r="A22" s="1">
        <v>45833</v>
      </c>
      <c r="B22" s="1" t="s">
        <v>54</v>
      </c>
      <c r="C22" s="7" t="s">
        <v>7</v>
      </c>
      <c r="D22" s="7" t="s">
        <v>32</v>
      </c>
      <c r="E22" s="5">
        <v>49</v>
      </c>
      <c r="H22" s="1">
        <v>45818</v>
      </c>
      <c r="I22" s="1" t="s">
        <v>54</v>
      </c>
      <c r="J22" t="s">
        <v>7</v>
      </c>
      <c r="K22" t="s">
        <v>32</v>
      </c>
      <c r="L22" s="3">
        <v>49</v>
      </c>
      <c r="M22" s="8">
        <v>14.8</v>
      </c>
    </row>
    <row r="23" spans="1:13" x14ac:dyDescent="0.3">
      <c r="A23" s="1">
        <v>45834</v>
      </c>
      <c r="B23" s="1" t="s">
        <v>54</v>
      </c>
      <c r="C23" s="7" t="s">
        <v>11</v>
      </c>
      <c r="D23" s="7" t="s">
        <v>33</v>
      </c>
      <c r="E23" s="5">
        <v>43</v>
      </c>
      <c r="H23" s="1">
        <v>45818</v>
      </c>
      <c r="I23" s="1" t="s">
        <v>54</v>
      </c>
      <c r="J23" t="s">
        <v>11</v>
      </c>
      <c r="K23" t="s">
        <v>33</v>
      </c>
      <c r="L23" s="3">
        <v>43</v>
      </c>
      <c r="M23" s="8">
        <v>13</v>
      </c>
    </row>
    <row r="24" spans="1:13" x14ac:dyDescent="0.3">
      <c r="A24" s="1">
        <v>45835</v>
      </c>
      <c r="B24" s="1" t="s">
        <v>54</v>
      </c>
      <c r="C24" s="7" t="s">
        <v>34</v>
      </c>
      <c r="D24" s="7" t="s">
        <v>22</v>
      </c>
      <c r="E24" s="5">
        <v>15</v>
      </c>
      <c r="H24" s="1">
        <v>45818</v>
      </c>
      <c r="I24" s="1" t="s">
        <v>54</v>
      </c>
      <c r="J24" t="s">
        <v>34</v>
      </c>
      <c r="K24" t="s">
        <v>22</v>
      </c>
      <c r="L24" s="3">
        <v>15</v>
      </c>
      <c r="M24" s="8">
        <v>4.5</v>
      </c>
    </row>
    <row r="25" spans="1:13" x14ac:dyDescent="0.3">
      <c r="A25" s="1">
        <v>45836</v>
      </c>
      <c r="B25" s="1" t="s">
        <v>54</v>
      </c>
      <c r="C25" s="7" t="s">
        <v>5</v>
      </c>
      <c r="D25" s="7" t="s">
        <v>35</v>
      </c>
      <c r="E25" s="5">
        <v>81</v>
      </c>
      <c r="H25" s="1">
        <v>45819</v>
      </c>
      <c r="I25" s="1" t="s">
        <v>54</v>
      </c>
      <c r="J25" t="s">
        <v>5</v>
      </c>
      <c r="K25" t="s">
        <v>35</v>
      </c>
      <c r="L25" s="3">
        <v>81</v>
      </c>
      <c r="M25" s="8">
        <v>34.799999999999997</v>
      </c>
    </row>
    <row r="26" spans="1:13" x14ac:dyDescent="0.3">
      <c r="A26" s="1">
        <v>45837</v>
      </c>
      <c r="B26" s="1" t="s">
        <v>54</v>
      </c>
      <c r="C26" s="7" t="s">
        <v>9</v>
      </c>
      <c r="D26" s="7" t="s">
        <v>36</v>
      </c>
      <c r="E26" s="5">
        <v>52</v>
      </c>
      <c r="H26" s="1">
        <v>45819</v>
      </c>
      <c r="I26" s="1" t="s">
        <v>54</v>
      </c>
      <c r="J26" t="s">
        <v>9</v>
      </c>
      <c r="K26" t="s">
        <v>36</v>
      </c>
      <c r="L26" s="3">
        <v>52</v>
      </c>
      <c r="M26" s="8">
        <v>22.3</v>
      </c>
    </row>
    <row r="27" spans="1:13" x14ac:dyDescent="0.3">
      <c r="A27" s="1">
        <v>45838</v>
      </c>
      <c r="B27" s="1" t="s">
        <v>54</v>
      </c>
      <c r="C27" s="7" t="s">
        <v>7</v>
      </c>
      <c r="D27" s="7" t="s">
        <v>8</v>
      </c>
      <c r="E27" s="5">
        <v>48</v>
      </c>
      <c r="H27" s="1">
        <v>45819</v>
      </c>
      <c r="I27" s="1" t="s">
        <v>54</v>
      </c>
      <c r="J27" t="s">
        <v>7</v>
      </c>
      <c r="K27" t="s">
        <v>8</v>
      </c>
      <c r="L27" s="3">
        <v>48</v>
      </c>
      <c r="M27" s="8">
        <v>20.6</v>
      </c>
    </row>
    <row r="28" spans="1:13" x14ac:dyDescent="0.3">
      <c r="A28" s="1">
        <v>45839</v>
      </c>
      <c r="B28" s="1" t="s">
        <v>54</v>
      </c>
      <c r="C28" s="7" t="s">
        <v>11</v>
      </c>
      <c r="D28" s="7" t="s">
        <v>37</v>
      </c>
      <c r="E28" s="5">
        <v>21</v>
      </c>
      <c r="H28" s="1">
        <v>45819</v>
      </c>
      <c r="I28" s="1" t="s">
        <v>54</v>
      </c>
      <c r="J28" t="s">
        <v>11</v>
      </c>
      <c r="K28" t="s">
        <v>37</v>
      </c>
      <c r="L28" s="3">
        <v>21</v>
      </c>
      <c r="M28" s="8">
        <v>9</v>
      </c>
    </row>
    <row r="29" spans="1:13" x14ac:dyDescent="0.3">
      <c r="A29" s="1">
        <v>45840</v>
      </c>
      <c r="B29" s="1" t="s">
        <v>54</v>
      </c>
      <c r="C29" s="7" t="s">
        <v>13</v>
      </c>
      <c r="D29" s="7" t="s">
        <v>38</v>
      </c>
      <c r="E29" s="5">
        <v>10</v>
      </c>
      <c r="H29" s="1">
        <v>45819</v>
      </c>
      <c r="I29" s="1" t="s">
        <v>54</v>
      </c>
      <c r="J29" t="s">
        <v>13</v>
      </c>
      <c r="K29" t="s">
        <v>38</v>
      </c>
      <c r="L29" s="3">
        <v>10</v>
      </c>
      <c r="M29" s="8">
        <v>4.3</v>
      </c>
    </row>
    <row r="30" spans="1:13" x14ac:dyDescent="0.3">
      <c r="A30" s="1">
        <v>45841</v>
      </c>
      <c r="B30" s="1" t="s">
        <v>54</v>
      </c>
      <c r="C30" s="7" t="s">
        <v>9</v>
      </c>
      <c r="D30" s="7" t="s">
        <v>39</v>
      </c>
      <c r="E30" s="5">
        <v>137</v>
      </c>
      <c r="H30" s="1">
        <v>45820</v>
      </c>
      <c r="I30" s="1" t="s">
        <v>54</v>
      </c>
      <c r="J30" t="s">
        <v>9</v>
      </c>
      <c r="K30" t="s">
        <v>39</v>
      </c>
      <c r="L30" s="3">
        <v>137</v>
      </c>
      <c r="M30" s="8">
        <v>41.3</v>
      </c>
    </row>
    <row r="31" spans="1:13" x14ac:dyDescent="0.3">
      <c r="A31" s="1">
        <v>45842</v>
      </c>
      <c r="B31" s="1" t="s">
        <v>54</v>
      </c>
      <c r="C31" s="7" t="s">
        <v>7</v>
      </c>
      <c r="D31" s="7" t="s">
        <v>40</v>
      </c>
      <c r="E31" s="5">
        <v>59</v>
      </c>
      <c r="H31" s="1">
        <v>45820</v>
      </c>
      <c r="I31" s="1" t="s">
        <v>54</v>
      </c>
      <c r="J31" t="s">
        <v>7</v>
      </c>
      <c r="K31" t="s">
        <v>40</v>
      </c>
      <c r="L31" s="3">
        <v>59</v>
      </c>
      <c r="M31" s="8">
        <v>17.8</v>
      </c>
    </row>
    <row r="32" spans="1:13" x14ac:dyDescent="0.3">
      <c r="A32" s="1">
        <v>45843</v>
      </c>
      <c r="B32" s="1" t="s">
        <v>54</v>
      </c>
      <c r="C32" s="7" t="s">
        <v>5</v>
      </c>
      <c r="D32" s="7" t="s">
        <v>32</v>
      </c>
      <c r="E32" s="5">
        <v>49</v>
      </c>
      <c r="H32" s="1">
        <v>45820</v>
      </c>
      <c r="I32" s="1" t="s">
        <v>54</v>
      </c>
      <c r="J32" t="s">
        <v>5</v>
      </c>
      <c r="K32" t="s">
        <v>32</v>
      </c>
      <c r="L32" s="3">
        <v>49</v>
      </c>
      <c r="M32" s="8">
        <v>14.8</v>
      </c>
    </row>
    <row r="33" spans="1:13" x14ac:dyDescent="0.3">
      <c r="A33" s="1">
        <v>45844</v>
      </c>
      <c r="B33" s="1" t="s">
        <v>54</v>
      </c>
      <c r="C33" s="7" t="s">
        <v>11</v>
      </c>
      <c r="D33" s="7" t="s">
        <v>41</v>
      </c>
      <c r="E33" s="5">
        <v>33</v>
      </c>
      <c r="H33" s="1">
        <v>45820</v>
      </c>
      <c r="I33" s="1" t="s">
        <v>54</v>
      </c>
      <c r="J33" t="s">
        <v>11</v>
      </c>
      <c r="K33" t="s">
        <v>41</v>
      </c>
      <c r="L33" s="3">
        <v>33</v>
      </c>
      <c r="M33" s="8">
        <v>9.9</v>
      </c>
    </row>
    <row r="34" spans="1:13" x14ac:dyDescent="0.3">
      <c r="A34" s="1">
        <v>45845</v>
      </c>
      <c r="B34" s="1" t="s">
        <v>54</v>
      </c>
      <c r="C34" s="7" t="s">
        <v>13</v>
      </c>
      <c r="D34" s="7" t="s">
        <v>42</v>
      </c>
      <c r="E34" s="5">
        <v>28</v>
      </c>
      <c r="H34" s="1">
        <v>45820</v>
      </c>
      <c r="I34" s="1" t="s">
        <v>54</v>
      </c>
      <c r="J34" t="s">
        <v>13</v>
      </c>
      <c r="K34" t="s">
        <v>42</v>
      </c>
      <c r="L34" s="3">
        <v>28</v>
      </c>
      <c r="M34" s="8">
        <v>8.4</v>
      </c>
    </row>
    <row r="35" spans="1:13" x14ac:dyDescent="0.3">
      <c r="A35" s="1">
        <v>45846</v>
      </c>
      <c r="B35" s="1" t="s">
        <v>54</v>
      </c>
      <c r="C35" s="7" t="s">
        <v>15</v>
      </c>
      <c r="D35" s="7" t="s">
        <v>43</v>
      </c>
      <c r="E35" s="5">
        <v>11</v>
      </c>
      <c r="H35" s="1">
        <v>45820</v>
      </c>
      <c r="I35" s="1" t="s">
        <v>54</v>
      </c>
      <c r="J35" t="s">
        <v>15</v>
      </c>
      <c r="K35" t="s">
        <v>43</v>
      </c>
      <c r="L35" s="3">
        <v>11</v>
      </c>
      <c r="M35" s="8">
        <v>3.3</v>
      </c>
    </row>
    <row r="36" spans="1:13" x14ac:dyDescent="0.3">
      <c r="A36" s="1">
        <v>45847</v>
      </c>
      <c r="B36" s="1" t="s">
        <v>55</v>
      </c>
      <c r="C36" s="7" t="s">
        <v>5</v>
      </c>
      <c r="D36" s="7" t="s">
        <v>44</v>
      </c>
      <c r="E36" s="5">
        <v>163</v>
      </c>
      <c r="H36" s="1">
        <v>45822</v>
      </c>
      <c r="I36" s="1" t="s">
        <v>55</v>
      </c>
      <c r="J36" t="s">
        <v>5</v>
      </c>
      <c r="K36" t="s">
        <v>44</v>
      </c>
      <c r="L36" s="3">
        <v>163</v>
      </c>
      <c r="M36" s="8">
        <v>38.700000000000003</v>
      </c>
    </row>
    <row r="37" spans="1:13" x14ac:dyDescent="0.3">
      <c r="A37" s="1">
        <v>45848</v>
      </c>
      <c r="B37" s="1" t="s">
        <v>55</v>
      </c>
      <c r="C37" s="7" t="s">
        <v>9</v>
      </c>
      <c r="D37" s="7" t="s">
        <v>45</v>
      </c>
      <c r="E37" s="5">
        <v>152</v>
      </c>
      <c r="H37" s="1">
        <v>45822</v>
      </c>
      <c r="I37" s="1" t="s">
        <v>55</v>
      </c>
      <c r="J37" t="s">
        <v>9</v>
      </c>
      <c r="K37" t="s">
        <v>45</v>
      </c>
      <c r="L37" s="3">
        <v>152</v>
      </c>
      <c r="M37" s="8">
        <v>36.1</v>
      </c>
    </row>
    <row r="38" spans="1:13" x14ac:dyDescent="0.3">
      <c r="A38" s="1">
        <v>45849</v>
      </c>
      <c r="B38" s="1" t="s">
        <v>55</v>
      </c>
      <c r="C38" s="7" t="s">
        <v>46</v>
      </c>
      <c r="D38" s="7" t="s">
        <v>47</v>
      </c>
      <c r="E38" s="5">
        <v>29</v>
      </c>
      <c r="H38" s="1">
        <v>45822</v>
      </c>
      <c r="I38" s="1" t="s">
        <v>55</v>
      </c>
      <c r="J38" t="s">
        <v>46</v>
      </c>
      <c r="K38" t="s">
        <v>47</v>
      </c>
      <c r="L38" s="3">
        <v>29</v>
      </c>
      <c r="M38" s="8">
        <v>6.9</v>
      </c>
    </row>
    <row r="39" spans="1:13" x14ac:dyDescent="0.3">
      <c r="A39" s="1">
        <v>45850</v>
      </c>
      <c r="B39" s="1" t="s">
        <v>55</v>
      </c>
      <c r="C39" s="7" t="s">
        <v>15</v>
      </c>
      <c r="D39" s="7" t="s">
        <v>28</v>
      </c>
      <c r="E39" s="5">
        <v>23</v>
      </c>
      <c r="H39" s="1">
        <v>45822</v>
      </c>
      <c r="I39" s="1" t="s">
        <v>55</v>
      </c>
      <c r="J39" t="s">
        <v>15</v>
      </c>
      <c r="K39" t="s">
        <v>28</v>
      </c>
      <c r="L39" s="3">
        <v>23</v>
      </c>
      <c r="M39" s="8">
        <v>5.5</v>
      </c>
    </row>
    <row r="40" spans="1:13" x14ac:dyDescent="0.3">
      <c r="A40" s="1">
        <v>45851</v>
      </c>
      <c r="B40" s="1" t="s">
        <v>55</v>
      </c>
      <c r="C40" s="7" t="s">
        <v>7</v>
      </c>
      <c r="D40" s="7" t="s">
        <v>48</v>
      </c>
      <c r="E40" s="5">
        <v>18</v>
      </c>
      <c r="H40" s="1">
        <v>45822</v>
      </c>
      <c r="I40" s="1" t="s">
        <v>55</v>
      </c>
      <c r="J40" t="s">
        <v>7</v>
      </c>
      <c r="K40" t="s">
        <v>48</v>
      </c>
      <c r="L40" s="3">
        <v>18</v>
      </c>
      <c r="M40" s="8">
        <v>4.3</v>
      </c>
    </row>
    <row r="41" spans="1:13" x14ac:dyDescent="0.3">
      <c r="A41" s="1">
        <v>45852</v>
      </c>
      <c r="B41" s="1" t="s">
        <v>55</v>
      </c>
      <c r="C41" s="7" t="s">
        <v>13</v>
      </c>
      <c r="D41" s="7" t="s">
        <v>43</v>
      </c>
      <c r="E41" s="5">
        <v>11</v>
      </c>
      <c r="H41" s="1">
        <v>45822</v>
      </c>
      <c r="I41" s="1" t="s">
        <v>55</v>
      </c>
      <c r="J41" t="s">
        <v>13</v>
      </c>
      <c r="K41" t="s">
        <v>43</v>
      </c>
      <c r="L41" s="3">
        <v>11</v>
      </c>
      <c r="M41" s="8">
        <v>2.6</v>
      </c>
    </row>
  </sheetData>
  <autoFilter ref="A3:E41" xr:uid="{00000000-0009-0000-0000-000005000000}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Sheet7</vt:lpstr>
      <vt:lpstr>Sheet5</vt:lpstr>
      <vt:lpstr>Sheet4</vt:lpstr>
      <vt:lpstr>Sheet3</vt:lpstr>
      <vt:lpstr>screentime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kapse</cp:lastModifiedBy>
  <dcterms:created xsi:type="dcterms:W3CDTF">2025-06-22T06:38:26Z</dcterms:created>
  <dcterms:modified xsi:type="dcterms:W3CDTF">2025-09-04T05:02:19Z</dcterms:modified>
</cp:coreProperties>
</file>